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jSPY5QcBPf3RA2FTdVAB0WR0qo02QhCBsc3Dz1QL+Y="/>
    </ext>
  </extLst>
</workbook>
</file>

<file path=xl/sharedStrings.xml><?xml version="1.0" encoding="utf-8"?>
<sst xmlns="http://schemas.openxmlformats.org/spreadsheetml/2006/main" count="47" uniqueCount="29">
  <si>
    <t>Lend to</t>
  </si>
  <si>
    <t>Britto</t>
  </si>
  <si>
    <t>Total Interest Pending</t>
  </si>
  <si>
    <t>Commenced On</t>
  </si>
  <si>
    <t>Total Principal Pending</t>
  </si>
  <si>
    <t>RoI</t>
  </si>
  <si>
    <t>Date</t>
  </si>
  <si>
    <t>Type</t>
  </si>
  <si>
    <t>Principal O/S</t>
  </si>
  <si>
    <t>Interest Rate</t>
  </si>
  <si>
    <t>Interest Due</t>
  </si>
  <si>
    <t>Interest Paid</t>
  </si>
  <si>
    <t>Principal Paid</t>
  </si>
  <si>
    <t>Total Paid</t>
  </si>
  <si>
    <t>Remarks</t>
  </si>
  <si>
    <t>01/Jan/2025</t>
  </si>
  <si>
    <t>Principal</t>
  </si>
  <si>
    <t>100000</t>
  </si>
  <si>
    <t>36%</t>
  </si>
  <si>
    <t>01/Feb/2025</t>
  </si>
  <si>
    <t>Interest</t>
  </si>
  <si>
    <t>3000</t>
  </si>
  <si>
    <t>01/Mar/2025</t>
  </si>
  <si>
    <t>Principal Repayment</t>
  </si>
  <si>
    <t>10000</t>
  </si>
  <si>
    <t>01/Apr/2025</t>
  </si>
  <si>
    <t>01/May/2025</t>
  </si>
  <si>
    <t>01/Jun/2025</t>
  </si>
  <si>
    <t>01/Jul/2025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</si>
</sst>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d/mmm/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0" fillId="0" fontId="1" numFmtId="164" xfId="0" applyAlignment="1" applyFont="1" applyNumberFormat="1">
      <alignment horizontal="left" readingOrder="0" vertical="top"/>
    </xf>
    <xf borderId="0" fillId="0" fontId="1" numFmtId="9" xfId="0" applyAlignment="1" applyFont="1" applyNumberFormat="1">
      <alignment horizontal="left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8.57"/>
    <col customWidth="1" min="3" max="3" width="12.43"/>
    <col customWidth="1" min="4" max="4" width="12.29"/>
    <col customWidth="1" min="5" max="5" width="11.86"/>
    <col customWidth="1" min="6" max="6" width="12.14"/>
    <col customWidth="1" min="7" max="7" width="12.86"/>
    <col customWidth="1" min="8" max="8" width="9.57"/>
    <col customWidth="1" min="9" max="26" width="8.71"/>
  </cols>
  <sheetData>
    <row r="1">
      <c r="A1" s="1" t="s">
        <v>0</v>
      </c>
      <c r="B1" s="1" t="s">
        <v>1</v>
      </c>
      <c r="C1" s="2"/>
      <c r="D1" s="1" t="s">
        <v>2</v>
      </c>
      <c r="E1" s="2"/>
      <c r="F1" s="3"/>
      <c r="G1" s="3"/>
      <c r="H1" s="3"/>
      <c r="I1" s="3"/>
    </row>
    <row r="2">
      <c r="A2" s="1" t="s">
        <v>3</v>
      </c>
      <c r="B2" s="4">
        <v>45839.0</v>
      </c>
      <c r="C2" s="2"/>
      <c r="D2" s="1" t="s">
        <v>4</v>
      </c>
      <c r="E2" s="2"/>
      <c r="F2" s="3"/>
      <c r="G2" s="3"/>
      <c r="H2" s="3"/>
      <c r="I2" s="3"/>
    </row>
    <row r="3">
      <c r="A3" s="1" t="s">
        <v>5</v>
      </c>
      <c r="B3" s="5">
        <v>0.03</v>
      </c>
      <c r="C3" s="2"/>
      <c r="D3" s="2"/>
      <c r="E3" s="2"/>
      <c r="F3" s="3"/>
      <c r="G3" s="3"/>
      <c r="H3" s="3"/>
      <c r="I3" s="3"/>
    </row>
    <row r="4">
      <c r="A4" s="2"/>
      <c r="B4" s="2"/>
      <c r="C4" s="2"/>
      <c r="D4" s="2"/>
      <c r="E4" s="2"/>
      <c r="F4" s="3"/>
      <c r="G4" s="3"/>
      <c r="H4" s="3"/>
      <c r="I4" s="3"/>
    </row>
    <row r="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>
      <c r="A6" s="7" t="s">
        <v>15</v>
      </c>
      <c r="B6" s="7" t="s">
        <v>16</v>
      </c>
      <c r="C6" s="7" t="s">
        <v>17</v>
      </c>
      <c r="D6" s="7" t="s">
        <v>18</v>
      </c>
      <c r="E6" s="7" t="str">
        <f t="shared" ref="E6:E15" si="1">IF(B6="Interest", C6*(D6/12), NA())</f>
        <v>#N/A</v>
      </c>
      <c r="H6" s="7">
        <f t="shared" ref="H6:H15" si="2">F6+G6</f>
        <v>0</v>
      </c>
    </row>
    <row r="7">
      <c r="A7" s="7" t="s">
        <v>19</v>
      </c>
      <c r="B7" s="7" t="s">
        <v>20</v>
      </c>
      <c r="C7" s="7">
        <f t="shared" ref="C7:C15" si="3">IF(B7="Principal", 100000, IF(B7="Interest", INDEX(C:C, ROW()-1) - INDEX(H:H, ROW()-1), IF(B7="Principal Repayment", INDEX(C:C, ROW()-1) - INDEX(G:G, ROW()-1), NA())))</f>
        <v>100000</v>
      </c>
      <c r="D7" s="7" t="s">
        <v>18</v>
      </c>
      <c r="E7" s="7">
        <f t="shared" si="1"/>
        <v>3000</v>
      </c>
      <c r="F7" s="7" t="s">
        <v>21</v>
      </c>
      <c r="H7" s="7">
        <f t="shared" si="2"/>
        <v>3000</v>
      </c>
    </row>
    <row r="8">
      <c r="A8" s="7" t="s">
        <v>22</v>
      </c>
      <c r="B8" s="7" t="s">
        <v>23</v>
      </c>
      <c r="C8" s="7">
        <f t="shared" si="3"/>
        <v>100000</v>
      </c>
      <c r="D8" s="7" t="s">
        <v>18</v>
      </c>
      <c r="E8" s="7" t="str">
        <f t="shared" si="1"/>
        <v>#N/A</v>
      </c>
      <c r="G8" s="7" t="s">
        <v>24</v>
      </c>
      <c r="H8" s="7">
        <f t="shared" si="2"/>
        <v>10000</v>
      </c>
    </row>
    <row r="9">
      <c r="A9" s="7" t="s">
        <v>25</v>
      </c>
      <c r="B9" s="7" t="s">
        <v>20</v>
      </c>
      <c r="C9" s="7">
        <f t="shared" si="3"/>
        <v>90000</v>
      </c>
      <c r="D9" s="7" t="s">
        <v>18</v>
      </c>
      <c r="E9" s="7">
        <f t="shared" si="1"/>
        <v>2700</v>
      </c>
      <c r="H9" s="7">
        <f t="shared" si="2"/>
        <v>0</v>
      </c>
    </row>
    <row r="10">
      <c r="A10" s="7" t="s">
        <v>26</v>
      </c>
      <c r="B10" s="7" t="s">
        <v>20</v>
      </c>
      <c r="C10" s="7">
        <f t="shared" si="3"/>
        <v>90000</v>
      </c>
      <c r="D10" s="7" t="s">
        <v>18</v>
      </c>
      <c r="E10" s="7">
        <f t="shared" si="1"/>
        <v>2700</v>
      </c>
      <c r="H10" s="7">
        <f t="shared" si="2"/>
        <v>0</v>
      </c>
    </row>
    <row r="11">
      <c r="A11" s="7" t="s">
        <v>22</v>
      </c>
      <c r="B11" s="7" t="s">
        <v>23</v>
      </c>
      <c r="C11" s="7">
        <f t="shared" si="3"/>
        <v>90000</v>
      </c>
      <c r="D11" s="7" t="s">
        <v>18</v>
      </c>
      <c r="E11" s="7" t="str">
        <f t="shared" si="1"/>
        <v>#N/A</v>
      </c>
      <c r="G11" s="7" t="s">
        <v>24</v>
      </c>
      <c r="H11" s="7">
        <f t="shared" si="2"/>
        <v>10000</v>
      </c>
    </row>
    <row r="12">
      <c r="A12" s="7" t="s">
        <v>27</v>
      </c>
      <c r="B12" s="7" t="s">
        <v>20</v>
      </c>
      <c r="C12" s="7">
        <f t="shared" si="3"/>
        <v>80000</v>
      </c>
      <c r="D12" s="7" t="s">
        <v>18</v>
      </c>
      <c r="E12" s="7">
        <f t="shared" si="1"/>
        <v>2400</v>
      </c>
      <c r="H12" s="7">
        <f t="shared" si="2"/>
        <v>0</v>
      </c>
    </row>
    <row r="13">
      <c r="A13" s="7" t="s">
        <v>28</v>
      </c>
      <c r="B13" s="7" t="s">
        <v>20</v>
      </c>
      <c r="C13" s="7">
        <f t="shared" si="3"/>
        <v>80000</v>
      </c>
      <c r="D13" s="7" t="s">
        <v>18</v>
      </c>
      <c r="E13" s="7">
        <f t="shared" si="1"/>
        <v>2400</v>
      </c>
      <c r="H13" s="7">
        <f t="shared" si="2"/>
        <v>0</v>
      </c>
    </row>
    <row r="14">
      <c r="A14" s="8">
        <v>45870.0</v>
      </c>
      <c r="B14" s="7" t="s">
        <v>23</v>
      </c>
      <c r="C14" s="7">
        <f t="shared" si="3"/>
        <v>80000</v>
      </c>
      <c r="D14" s="7" t="s">
        <v>18</v>
      </c>
      <c r="E14" s="7" t="str">
        <f t="shared" si="1"/>
        <v>#N/A</v>
      </c>
      <c r="G14" s="9">
        <v>-120000.0</v>
      </c>
      <c r="H14" s="7">
        <f t="shared" si="2"/>
        <v>-120000</v>
      </c>
    </row>
    <row r="15">
      <c r="A15" s="8">
        <v>45901.0</v>
      </c>
      <c r="B15" s="7" t="s">
        <v>20</v>
      </c>
      <c r="C15" s="7">
        <f t="shared" si="3"/>
        <v>200000</v>
      </c>
      <c r="D15" s="7" t="s">
        <v>18</v>
      </c>
      <c r="E15" s="7">
        <f t="shared" si="1"/>
        <v>6000</v>
      </c>
      <c r="H15" s="7">
        <f t="shared" si="2"/>
        <v>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2025-08-03T09:59:16Z</dcterms:created>
</cp:coreProperties>
</file>